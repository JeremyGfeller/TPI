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activeTab="1"/>
  </bookViews>
  <sheets>
    <sheet name="Journal" sheetId="1" r:id="rId1"/>
    <sheet name="Totaux" sheetId="4" r:id="rId2"/>
    <sheet name="Paramètres" sheetId="2" r:id="rId3"/>
  </sheets>
  <calcPr calcId="162913"/>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c r="B7" i="1" l="1"/>
  <c r="B8" i="1" l="1"/>
  <c r="B9" i="1" l="1"/>
  <c r="B10" i="1" l="1"/>
  <c r="B11" i="1" l="1"/>
  <c r="B12" i="1" l="1"/>
  <c r="B13" i="1"/>
  <c r="B14" i="1" l="1"/>
  <c r="B15" i="1" l="1"/>
  <c r="B16" i="1" l="1"/>
  <c r="B17" i="1"/>
  <c r="B18" i="1"/>
  <c r="B19" i="1" l="1"/>
  <c r="B20" i="1"/>
  <c r="B21" i="1" l="1"/>
  <c r="B22" i="1" l="1"/>
  <c r="B23" i="1" l="1"/>
  <c r="B24" i="1" l="1"/>
  <c r="B25" i="1" l="1"/>
  <c r="B26" i="1"/>
  <c r="B27" i="1"/>
  <c r="B28" i="1"/>
  <c r="B29" i="1"/>
  <c r="B30" i="1"/>
  <c r="B31" i="1"/>
  <c r="B32" i="1"/>
  <c r="B33" i="1"/>
  <c r="B34" i="1"/>
  <c r="B35" i="1"/>
  <c r="B36" i="1"/>
  <c r="B37" i="1" l="1"/>
  <c r="B38" i="1"/>
</calcChain>
</file>

<file path=xl/sharedStrings.xml><?xml version="1.0" encoding="utf-8"?>
<sst xmlns="http://schemas.openxmlformats.org/spreadsheetml/2006/main" count="102" uniqueCount="60">
  <si>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</si>
  <si>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</si>
  <si>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</si>
  <si>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</si>
  <si>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</si>
  <si>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</si>
  <si>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</si>
  <si>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</si>
  <si>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</si>
  <si>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</si>
  <si>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</si>
  <si>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</si>
  <si>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</si>
  <si>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</si>
  <si>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</si>
  <si>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</si>
  <si>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</si>
  <si>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</si>
  <si>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</si>
  <si>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</si>
  <si>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</si>
  <si>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</si>
  <si>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</si>
  <si>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</si>
  <si>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</si>
  <si>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</si>
  <si>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</si>
  <si>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</si>
  <si>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</si>
  <si>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</si>
  <si>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</si>
  <si>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</si>
  <si>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</si>
  <si>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</si>
  <si>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</si>
  <si>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</si>
  <si>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</si>
  <si>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</si>
  <si>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</si>
  <si>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</si>
  <si>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</si>
  <si>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</si>
  <si>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</si>
  <si>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</si>
  <si>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</si>
  <si>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</si>
  <si>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</si>
  <si>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</si>
  <si>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</si>
  <si>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</si>
  <si>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</si>
  <si>
    <t>J'ai fait de la documentation, j'ai ajouté des choses dans la partie réalisation.</t>
  </si>
  <si>
    <t>J'ai reçu mon cahier des charges que j'ai signé, j'ai fait la rencontre de mon Expert n°1, M. Alain-Philippe Garraux</t>
  </si>
  <si>
    <t>J'ai installé un emulateur sur l'ordinateur du CPNV, en parallèle de l'installation j'ai continué à passer mes pages en MVC</t>
  </si>
  <si>
    <t xml:space="preserve">On a cherché avec M. Carrel la solution pour utiliser SQLite sur l'application mobile mais en vain. Du coup on est passé sur une autre solution qui est d'utiliser la fonction storage de ionic. Il m'a montré comment elle fonctionnait et j'ai commencé à faire mes tests.  </t>
  </si>
  <si>
    <t xml:space="preserve">Mis en forme du site avec le template du cercle d'yverdon </t>
  </si>
  <si>
    <t>Documentation, ajout de choses dans la partie réalisation</t>
  </si>
  <si>
    <t>Entretien passé au CPNV pour faire la formation ES en développement d'applications</t>
  </si>
  <si>
    <t>J'ai amélioré la fonction de l'application mobile qui me permet d'enregistrer le stock de vin en local et ensuite de créer un mouvement.</t>
  </si>
  <si>
    <t>Ajout de la vue d'ensemble pour la partie web. Commencement du résumé de la documentation. Modification apportées dans les chapitres précédemments remplis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</si>
</sst>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1.696364467593" createdVersion="4" refreshedVersion="6" minRefreshableVersion="3" recordCount="37">
  <cacheSource type="worksheet">
    <worksheetSource ref="A1:D38" sheet="Journal"/>
  </cacheSource>
  <cacheFields count="4">
    <cacheField name="Jour" numFmtId="16">
      <sharedItems containsSemiMixedTypes="0" containsNonDate="0" containsDate="1" containsString="0" minDate="2018-01-01T00:00:00" maxDate="2018-06-01T00:00:00" count="14">
        <d v="2018-05-31T00:00:00"/>
        <d v="2018-05-30T00:00:00"/>
        <d v="2018-05-29T00:00:00"/>
        <d v="2018-05-24T00:00:0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2"/>
    </cacheField>
    <cacheField name="Temps [h]" numFmtId="2">
      <sharedItems containsSemiMixedTypes="0" containsString="0" containsNumber="1" minValue="0.33" maxValue="4.75"/>
    </cacheField>
    <cacheField name="Type" numFmtId="0">
      <sharedItems count="5">
        <s v="Documentation"/>
        <s v="Implé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7">
  <r>
    <x v="0"/>
    <n v="22"/>
    <n v="2.25"/>
    <x v="0"/>
  </r>
  <r>
    <x v="0"/>
    <n v="22"/>
    <n v="3.75"/>
    <x v="1"/>
  </r>
  <r>
    <x v="0"/>
    <n v="22"/>
    <n v="0.75"/>
    <x v="2"/>
  </r>
  <r>
    <x v="1"/>
    <n v="22"/>
    <n v="2.25"/>
    <x v="0"/>
  </r>
  <r>
    <x v="1"/>
    <n v="22"/>
    <n v="1.5"/>
    <x v="1"/>
  </r>
  <r>
    <x v="2"/>
    <n v="22"/>
    <n v="4.5"/>
    <x v="1"/>
  </r>
  <r>
    <x v="2"/>
    <n v="22"/>
    <n v="1.5"/>
    <x v="1"/>
  </r>
  <r>
    <x v="3"/>
    <n v="21"/>
    <n v="1.5"/>
    <x v="0"/>
  </r>
  <r>
    <x v="3"/>
    <n v="21"/>
    <n v="2.15"/>
    <x v="1"/>
  </r>
  <r>
    <x v="3"/>
    <n v="21"/>
    <n v="1.5"/>
    <x v="1"/>
  </r>
  <r>
    <x v="3"/>
    <n v="21"/>
    <n v="0.75"/>
    <x v="1"/>
  </r>
  <r>
    <x v="3"/>
    <n v="21"/>
    <n v="2.25"/>
    <x v="1"/>
  </r>
  <r>
    <x v="3"/>
    <n v="21"/>
    <n v="2.25"/>
    <x v="1"/>
  </r>
  <r>
    <x v="3"/>
    <n v="21"/>
    <n v="1.5"/>
    <x v="1"/>
  </r>
  <r>
    <x v="4"/>
    <n v="21"/>
    <n v="0.75"/>
    <x v="1"/>
  </r>
  <r>
    <x v="4"/>
    <n v="21"/>
    <n v="0.33"/>
    <x v="3"/>
  </r>
  <r>
    <x v="4"/>
    <n v="21"/>
    <n v="2.66"/>
    <x v="1"/>
  </r>
  <r>
    <x v="5"/>
    <n v="21"/>
    <n v="1.5"/>
    <x v="1"/>
  </r>
  <r>
    <x v="5"/>
    <n v="21"/>
    <n v="1.5"/>
    <x v="1"/>
  </r>
  <r>
    <x v="5"/>
    <n v="21"/>
    <n v="4"/>
    <x v="1"/>
  </r>
  <r>
    <x v="6"/>
    <n v="20"/>
    <n v="1.5"/>
    <x v="0"/>
  </r>
  <r>
    <x v="6"/>
    <n v="20"/>
    <n v="3"/>
    <x v="1"/>
  </r>
  <r>
    <x v="6"/>
    <n v="20"/>
    <n v="0.75"/>
    <x v="0"/>
  </r>
  <r>
    <x v="7"/>
    <n v="20"/>
    <n v="0.5"/>
    <x v="0"/>
  </r>
  <r>
    <x v="7"/>
    <n v="20"/>
    <n v="4.75"/>
    <x v="1"/>
  </r>
  <r>
    <x v="7"/>
    <n v="20"/>
    <n v="1.75"/>
    <x v="1"/>
  </r>
  <r>
    <x v="8"/>
    <n v="20"/>
    <n v="0.75"/>
    <x v="1"/>
  </r>
  <r>
    <x v="8"/>
    <n v="20"/>
    <n v="4"/>
    <x v="1"/>
  </r>
  <r>
    <x v="9"/>
    <n v="20"/>
    <n v="3.75"/>
    <x v="1"/>
  </r>
  <r>
    <x v="9"/>
    <n v="20"/>
    <n v="1.5"/>
    <x v="3"/>
  </r>
  <r>
    <x v="10"/>
    <n v="20"/>
    <n v="0.5"/>
    <x v="3"/>
  </r>
  <r>
    <x v="11"/>
    <n v="19"/>
    <n v="0.75"/>
    <x v="0"/>
  </r>
  <r>
    <x v="11"/>
    <n v="19"/>
    <n v="4"/>
    <x v="3"/>
  </r>
  <r>
    <x v="12"/>
    <n v="19"/>
    <n v="3.75"/>
    <x v="3"/>
  </r>
  <r>
    <x v="12"/>
    <n v="19"/>
    <n v="2.5"/>
    <x v="3"/>
  </r>
  <r>
    <x v="12"/>
    <n v="19"/>
    <n v="1.5"/>
    <x v="3"/>
  </r>
  <r>
    <x v="12"/>
    <n v="19"/>
    <n v="0.75"/>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8" firstHeaderRow="1" firstDataRow="2" firstDataCol="1"/>
  <pivotFields count="4">
    <pivotField axis="axisRow" numFmtId="16" showAll="0">
      <items count="15">
        <item m="1" x="13"/>
        <item x="6"/>
        <item x="7"/>
        <item x="8"/>
        <item x="9"/>
        <item x="11"/>
        <item x="12"/>
        <item x="10"/>
        <item x="5"/>
        <item x="4"/>
        <item x="3"/>
        <item x="2"/>
        <item x="1"/>
        <item x="0"/>
        <item t="default"/>
      </items>
    </pivotField>
    <pivotField showAll="0"/>
    <pivotField dataField="1" showAll="0"/>
    <pivotField axis="axisCol" showAll="0">
      <items count="6">
        <item x="0"/>
        <item x="1"/>
        <item x="3"/>
        <item m="1" x="4"/>
        <item x="2"/>
        <item t="default"/>
      </items>
    </pivotField>
  </pivotFields>
  <rowFields count="1">
    <field x="0"/>
  </rowFields>
  <rowItems count="14">
    <i>
      <x v="1"/>
    </i>
    <i>
      <x v="2"/>
    </i>
    <i>
      <x v="3"/>
    </i>
    <i>
      <x v="4"/>
    </i>
    <i>
      <x v="5"/>
    </i>
    <i>
      <x v="6"/>
    </i>
    <i>
      <x v="7"/>
    </i>
    <i>
      <x v="8"/>
    </i>
    <i>
      <x v="9"/>
    </i>
    <i>
      <x v="10"/>
    </i>
    <i>
      <x v="11"/>
    </i>
    <i>
      <x v="12"/>
    </i>
    <i>
      <x v="13"/>
    </i>
    <i t="grand">
      <x/>
    </i>
  </rowItems>
  <colFields count="1">
    <field x="3"/>
  </colFields>
  <colItems count="5">
    <i>
      <x/>
    </i>
    <i>
      <x v="1"/>
    </i>
    <i>
      <x v="2"/>
    </i>
    <i>
      <x v="4"/>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9"/>
  <sheetViews>
    <sheetView workbookViewId="0">
      <selection activeCell="E3" sqref="E3"/>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8" ht="24" customHeight="1" x14ac:dyDescent="0.25">
      <c r="A1" s="6" t="s">
        <v>2</v>
      </c>
      <c r="B1" s="18" t="s">
        <v>12</v>
      </c>
      <c r="C1" s="9" t="s">
        <v>3</v>
      </c>
      <c r="D1" s="6" t="s">
        <v>4</v>
      </c>
      <c r="E1" s="10" t="s">
        <v>0</v>
      </c>
      <c r="F1" s="10" t="s">
        <v>1</v>
      </c>
      <c r="G1" s="23"/>
      <c r="H1" s="24"/>
    </row>
    <row r="2" spans="1:8" ht="30" x14ac:dyDescent="0.25">
      <c r="A2" s="7">
        <v>43251</v>
      </c>
      <c r="B2" s="19">
        <f t="shared" ref="B2" si="0">WEEKNUM(A2)</f>
        <v>22</v>
      </c>
      <c r="C2" s="12">
        <v>2.25</v>
      </c>
      <c r="D2" s="13" t="s">
        <v>9</v>
      </c>
      <c r="E2" s="14" t="s">
        <v>59</v>
      </c>
      <c r="F2" s="14"/>
      <c r="G2" s="23"/>
      <c r="H2" s="24"/>
    </row>
    <row r="3" spans="1:8" ht="30" x14ac:dyDescent="0.25">
      <c r="A3" s="7">
        <v>43251</v>
      </c>
      <c r="B3" s="19">
        <f t="shared" ref="B3" si="1">WEEKNUM(A3)</f>
        <v>22</v>
      </c>
      <c r="C3" s="12">
        <v>3.75</v>
      </c>
      <c r="D3" s="13" t="s">
        <v>7</v>
      </c>
      <c r="E3" s="14" t="s">
        <v>58</v>
      </c>
      <c r="F3" s="14"/>
      <c r="G3" s="23"/>
      <c r="H3" s="24"/>
    </row>
    <row r="4" spans="1:8" x14ac:dyDescent="0.25">
      <c r="A4" s="7">
        <v>43251</v>
      </c>
      <c r="B4" s="19">
        <f t="shared" ref="B4" si="2">WEEKNUM(A4)</f>
        <v>22</v>
      </c>
      <c r="C4" s="12">
        <v>0.75</v>
      </c>
      <c r="D4" s="13" t="s">
        <v>10</v>
      </c>
      <c r="E4" s="14" t="s">
        <v>57</v>
      </c>
      <c r="F4" s="14"/>
      <c r="G4" s="23"/>
      <c r="H4" s="24"/>
    </row>
    <row r="5" spans="1:8" x14ac:dyDescent="0.25">
      <c r="A5" s="7">
        <v>43250</v>
      </c>
      <c r="B5" s="19">
        <f t="shared" ref="B5" si="3">WEEKNUM(A5)</f>
        <v>22</v>
      </c>
      <c r="C5" s="12">
        <v>2.25</v>
      </c>
      <c r="D5" s="13" t="s">
        <v>9</v>
      </c>
      <c r="E5" s="14" t="s">
        <v>56</v>
      </c>
      <c r="F5" s="14"/>
      <c r="G5" s="23"/>
      <c r="H5" s="24"/>
    </row>
    <row r="6" spans="1:8" x14ac:dyDescent="0.25">
      <c r="A6" s="7">
        <v>43250</v>
      </c>
      <c r="B6" s="19">
        <f t="shared" ref="B6" si="4">WEEKNUM(A6)</f>
        <v>22</v>
      </c>
      <c r="C6" s="12">
        <v>1.5</v>
      </c>
      <c r="D6" s="13" t="s">
        <v>7</v>
      </c>
      <c r="E6" s="14" t="s">
        <v>55</v>
      </c>
      <c r="F6" s="14"/>
      <c r="G6" s="23"/>
      <c r="H6" s="24"/>
    </row>
    <row r="7" spans="1:8" ht="45" x14ac:dyDescent="0.25">
      <c r="A7" s="7">
        <v>43249</v>
      </c>
      <c r="B7" s="19">
        <f t="shared" ref="B7" si="5">WEEKNUM(A7)</f>
        <v>22</v>
      </c>
      <c r="C7" s="12">
        <v>4.5</v>
      </c>
      <c r="D7" s="13" t="s">
        <v>7</v>
      </c>
      <c r="E7" s="14" t="s">
        <v>54</v>
      </c>
      <c r="F7" s="14"/>
      <c r="G7" s="23"/>
      <c r="H7" s="24"/>
    </row>
    <row r="8" spans="1:8" ht="30" x14ac:dyDescent="0.25">
      <c r="A8" s="7">
        <v>43249</v>
      </c>
      <c r="B8" s="19">
        <f t="shared" ref="B8" si="6">WEEKNUM(A8)</f>
        <v>22</v>
      </c>
      <c r="C8" s="12">
        <v>1.5</v>
      </c>
      <c r="D8" s="13" t="s">
        <v>7</v>
      </c>
      <c r="E8" s="14" t="s">
        <v>53</v>
      </c>
      <c r="F8" s="14"/>
      <c r="G8" s="23"/>
      <c r="H8" s="24"/>
    </row>
    <row r="9" spans="1:8" x14ac:dyDescent="0.25">
      <c r="A9" s="7">
        <v>43244</v>
      </c>
      <c r="B9" s="19">
        <f t="shared" ref="B9" si="7">WEEKNUM(A9)</f>
        <v>21</v>
      </c>
      <c r="C9" s="12">
        <v>1.5</v>
      </c>
      <c r="D9" s="13" t="s">
        <v>9</v>
      </c>
      <c r="E9" s="14" t="s">
        <v>51</v>
      </c>
      <c r="F9" s="14"/>
      <c r="G9" s="23"/>
      <c r="H9" s="24"/>
    </row>
    <row r="10" spans="1:8" ht="60" x14ac:dyDescent="0.25">
      <c r="A10" s="7">
        <v>43244</v>
      </c>
      <c r="B10" s="19">
        <f t="shared" ref="B10" si="8">WEEKNUM(A10)</f>
        <v>21</v>
      </c>
      <c r="C10" s="12">
        <v>2.15</v>
      </c>
      <c r="D10" s="13" t="s">
        <v>7</v>
      </c>
      <c r="E10" s="14" t="s">
        <v>49</v>
      </c>
      <c r="F10" s="14" t="s">
        <v>50</v>
      </c>
      <c r="G10" s="23"/>
      <c r="H10" s="24"/>
    </row>
    <row r="11" spans="1:8" x14ac:dyDescent="0.25">
      <c r="A11" s="7">
        <v>43244</v>
      </c>
      <c r="B11" s="19">
        <f t="shared" ref="B11" si="9">WEEKNUM(A11)</f>
        <v>21</v>
      </c>
      <c r="C11" s="12">
        <v>1.5</v>
      </c>
      <c r="D11" s="13" t="s">
        <v>7</v>
      </c>
      <c r="E11" s="14" t="s">
        <v>48</v>
      </c>
      <c r="F11" s="14"/>
      <c r="G11" s="23"/>
      <c r="H11" s="24"/>
    </row>
    <row r="12" spans="1:8" x14ac:dyDescent="0.25">
      <c r="A12" s="7">
        <v>43244</v>
      </c>
      <c r="B12" s="19">
        <f t="shared" ref="B12" si="10">WEEKNUM(A12)</f>
        <v>21</v>
      </c>
      <c r="C12" s="12">
        <v>0.75</v>
      </c>
      <c r="D12" s="13" t="s">
        <v>7</v>
      </c>
      <c r="E12" s="14" t="s">
        <v>47</v>
      </c>
      <c r="F12" s="14"/>
      <c r="G12" s="23"/>
      <c r="H12" s="24"/>
    </row>
    <row r="13" spans="1:8" ht="30" x14ac:dyDescent="0.25">
      <c r="A13" s="7">
        <v>43244</v>
      </c>
      <c r="B13" s="19">
        <f t="shared" ref="B13" si="11">WEEKNUM(A13)</f>
        <v>21</v>
      </c>
      <c r="C13" s="12">
        <v>2.25</v>
      </c>
      <c r="D13" s="13" t="s">
        <v>7</v>
      </c>
      <c r="E13" s="14" t="s">
        <v>46</v>
      </c>
      <c r="F13" s="14"/>
      <c r="G13" s="23"/>
      <c r="H13" s="24"/>
    </row>
    <row r="14" spans="1:8" ht="60" x14ac:dyDescent="0.25">
      <c r="A14" s="7">
        <v>43244</v>
      </c>
      <c r="B14" s="19">
        <f t="shared" ref="B14" si="12">WEEKNUM(A14)</f>
        <v>21</v>
      </c>
      <c r="C14" s="12">
        <v>2.25</v>
      </c>
      <c r="D14" s="13" t="s">
        <v>7</v>
      </c>
      <c r="E14" s="14" t="s">
        <v>44</v>
      </c>
      <c r="F14" s="14" t="s">
        <v>45</v>
      </c>
      <c r="G14" s="23"/>
      <c r="H14" s="24"/>
    </row>
    <row r="15" spans="1:8" ht="45" x14ac:dyDescent="0.25">
      <c r="A15" s="7">
        <v>43244</v>
      </c>
      <c r="B15" s="19">
        <f t="shared" ref="B15" si="13">WEEKNUM(A15)</f>
        <v>21</v>
      </c>
      <c r="C15" s="12">
        <v>1.5</v>
      </c>
      <c r="D15" s="13" t="s">
        <v>7</v>
      </c>
      <c r="E15" s="14" t="s">
        <v>43</v>
      </c>
      <c r="F15" s="14"/>
      <c r="G15" s="23"/>
      <c r="H15" s="24"/>
    </row>
    <row r="16" spans="1:8" ht="45" x14ac:dyDescent="0.25">
      <c r="A16" s="7">
        <v>43243</v>
      </c>
      <c r="B16" s="19">
        <f t="shared" ref="B16" si="14">WEEKNUM(A16)</f>
        <v>21</v>
      </c>
      <c r="C16" s="12">
        <v>0.75</v>
      </c>
      <c r="D16" s="13" t="s">
        <v>7</v>
      </c>
      <c r="E16" s="14" t="s">
        <v>42</v>
      </c>
      <c r="F16" s="14"/>
      <c r="G16" s="23"/>
      <c r="H16" s="24"/>
    </row>
    <row r="17" spans="1:9" ht="30" x14ac:dyDescent="0.25">
      <c r="A17" s="7">
        <v>43243</v>
      </c>
      <c r="B17" s="19">
        <f t="shared" ref="B17" si="15">WEEKNUM(A17)</f>
        <v>21</v>
      </c>
      <c r="C17" s="12">
        <v>0.33</v>
      </c>
      <c r="D17" s="13" t="s">
        <v>6</v>
      </c>
      <c r="E17" s="14" t="s">
        <v>40</v>
      </c>
      <c r="F17" s="14"/>
      <c r="G17" s="23"/>
      <c r="H17" s="24"/>
    </row>
    <row r="18" spans="1:9" ht="45" x14ac:dyDescent="0.25">
      <c r="A18" s="7">
        <v>43243</v>
      </c>
      <c r="B18" s="19">
        <f t="shared" ref="B18" si="16">WEEKNUM(A18)</f>
        <v>21</v>
      </c>
      <c r="C18" s="12">
        <v>2.66</v>
      </c>
      <c r="D18" s="13" t="s">
        <v>7</v>
      </c>
      <c r="E18" s="14" t="s">
        <v>41</v>
      </c>
      <c r="F18" s="14"/>
      <c r="G18" s="23"/>
      <c r="H18" s="24"/>
    </row>
    <row r="19" spans="1:9" x14ac:dyDescent="0.25">
      <c r="A19" s="7">
        <v>43242</v>
      </c>
      <c r="B19" s="19">
        <f t="shared" ref="B19" si="17">WEEKNUM(A19)</f>
        <v>21</v>
      </c>
      <c r="C19" s="12">
        <v>1.5</v>
      </c>
      <c r="D19" s="13" t="s">
        <v>7</v>
      </c>
      <c r="E19" s="14" t="s">
        <v>39</v>
      </c>
      <c r="F19" s="14"/>
      <c r="G19" s="23"/>
      <c r="H19" s="24"/>
    </row>
    <row r="20" spans="1:9" x14ac:dyDescent="0.25">
      <c r="A20" s="7">
        <v>43242</v>
      </c>
      <c r="B20" s="19">
        <f t="shared" ref="B20" si="18">WEEKNUM(A20)</f>
        <v>21</v>
      </c>
      <c r="C20" s="12">
        <v>1.5</v>
      </c>
      <c r="D20" s="13" t="s">
        <v>7</v>
      </c>
      <c r="E20" s="14" t="s">
        <v>38</v>
      </c>
      <c r="F20" s="14"/>
      <c r="G20" s="23"/>
      <c r="H20" s="24"/>
    </row>
    <row r="21" spans="1:9" ht="75" x14ac:dyDescent="0.25">
      <c r="A21" s="7">
        <v>43242</v>
      </c>
      <c r="B21" s="19">
        <f t="shared" ref="B21" si="19">WEEKNUM(A21)</f>
        <v>21</v>
      </c>
      <c r="C21" s="12">
        <v>4</v>
      </c>
      <c r="D21" s="13" t="s">
        <v>7</v>
      </c>
      <c r="E21" s="14" t="s">
        <v>37</v>
      </c>
      <c r="F21" s="14"/>
      <c r="G21" s="23"/>
      <c r="H21" s="24"/>
    </row>
    <row r="22" spans="1:9" x14ac:dyDescent="0.25">
      <c r="A22" s="7">
        <v>43238</v>
      </c>
      <c r="B22" s="19">
        <f t="shared" ref="B22" si="20">WEEKNUM(A22)</f>
        <v>20</v>
      </c>
      <c r="C22" s="12">
        <v>1.5</v>
      </c>
      <c r="D22" s="13" t="s">
        <v>9</v>
      </c>
      <c r="E22" s="14" t="s">
        <v>36</v>
      </c>
      <c r="F22" s="14"/>
      <c r="G22" s="23"/>
      <c r="H22" s="24"/>
    </row>
    <row r="23" spans="1:9" ht="30" x14ac:dyDescent="0.25">
      <c r="A23" s="7">
        <v>43238</v>
      </c>
      <c r="B23" s="19">
        <f t="shared" ref="B23" si="21">WEEKNUM(A23)</f>
        <v>20</v>
      </c>
      <c r="C23" s="12">
        <v>3</v>
      </c>
      <c r="D23" s="13" t="s">
        <v>7</v>
      </c>
      <c r="E23" s="14" t="s">
        <v>35</v>
      </c>
      <c r="F23" s="14"/>
      <c r="G23" s="22"/>
    </row>
    <row r="24" spans="1:9" x14ac:dyDescent="0.25">
      <c r="A24" s="7">
        <v>43238</v>
      </c>
      <c r="B24" s="19">
        <f t="shared" ref="B24" si="22">WEEKNUM(A24)</f>
        <v>20</v>
      </c>
      <c r="C24" s="12">
        <v>0.75</v>
      </c>
      <c r="D24" s="13" t="s">
        <v>9</v>
      </c>
      <c r="E24" s="14" t="s">
        <v>32</v>
      </c>
      <c r="F24" s="14" t="s">
        <v>30</v>
      </c>
    </row>
    <row r="25" spans="1:9" ht="30" x14ac:dyDescent="0.25">
      <c r="A25" s="7">
        <v>43237</v>
      </c>
      <c r="B25" s="19">
        <f t="shared" ref="B25:B32" si="23">WEEKNUM(A25)</f>
        <v>20</v>
      </c>
      <c r="C25" s="12">
        <v>0.5</v>
      </c>
      <c r="D25" s="13" t="s">
        <v>9</v>
      </c>
      <c r="E25" s="14" t="s">
        <v>29</v>
      </c>
      <c r="F25" s="14"/>
      <c r="I25" s="15"/>
    </row>
    <row r="26" spans="1:9" ht="75" x14ac:dyDescent="0.25">
      <c r="A26" s="7">
        <v>43237</v>
      </c>
      <c r="B26" s="19">
        <f t="shared" si="23"/>
        <v>20</v>
      </c>
      <c r="C26" s="12">
        <v>4.75</v>
      </c>
      <c r="D26" s="13" t="s">
        <v>7</v>
      </c>
      <c r="E26" s="14" t="s">
        <v>28</v>
      </c>
      <c r="F26" s="14"/>
      <c r="I26" s="15"/>
    </row>
    <row r="27" spans="1:9" ht="45" x14ac:dyDescent="0.25">
      <c r="A27" s="7">
        <v>43237</v>
      </c>
      <c r="B27" s="19">
        <f t="shared" si="23"/>
        <v>20</v>
      </c>
      <c r="C27" s="12">
        <v>1.75</v>
      </c>
      <c r="D27" s="13" t="s">
        <v>7</v>
      </c>
      <c r="E27" s="14" t="s">
        <v>27</v>
      </c>
      <c r="F27" s="14"/>
      <c r="I27" s="15"/>
    </row>
    <row r="28" spans="1:9" ht="45" x14ac:dyDescent="0.25">
      <c r="A28" s="7">
        <v>43236</v>
      </c>
      <c r="B28" s="19">
        <f t="shared" si="23"/>
        <v>20</v>
      </c>
      <c r="C28" s="12">
        <v>0.75</v>
      </c>
      <c r="D28" s="13" t="s">
        <v>7</v>
      </c>
      <c r="E28" s="14" t="s">
        <v>26</v>
      </c>
      <c r="F28" s="14"/>
      <c r="I28" s="15"/>
    </row>
    <row r="29" spans="1:9" ht="45" x14ac:dyDescent="0.25">
      <c r="A29" s="7">
        <v>43236</v>
      </c>
      <c r="B29" s="19">
        <f t="shared" si="23"/>
        <v>20</v>
      </c>
      <c r="C29" s="12">
        <v>4</v>
      </c>
      <c r="D29" s="13" t="s">
        <v>7</v>
      </c>
      <c r="E29" s="14" t="s">
        <v>24</v>
      </c>
      <c r="F29" s="14" t="s">
        <v>25</v>
      </c>
      <c r="I29" s="15"/>
    </row>
    <row r="30" spans="1:9" ht="60" x14ac:dyDescent="0.25">
      <c r="A30" s="7">
        <v>43235</v>
      </c>
      <c r="B30" s="19">
        <f t="shared" si="23"/>
        <v>20</v>
      </c>
      <c r="C30" s="12">
        <v>3.75</v>
      </c>
      <c r="D30" s="13" t="s">
        <v>7</v>
      </c>
      <c r="E30" s="14" t="s">
        <v>23</v>
      </c>
      <c r="F30" s="14"/>
      <c r="I30" s="15"/>
    </row>
    <row r="31" spans="1:9" x14ac:dyDescent="0.25">
      <c r="A31" s="7">
        <v>43235</v>
      </c>
      <c r="B31" s="19">
        <f t="shared" si="23"/>
        <v>20</v>
      </c>
      <c r="C31" s="16">
        <v>1.5</v>
      </c>
      <c r="D31" s="13" t="s">
        <v>6</v>
      </c>
      <c r="E31" s="14" t="s">
        <v>22</v>
      </c>
      <c r="F31" s="14"/>
      <c r="I31" s="15"/>
    </row>
    <row r="32" spans="1:9" x14ac:dyDescent="0.25">
      <c r="A32" s="7">
        <v>43234</v>
      </c>
      <c r="B32" s="19">
        <f t="shared" si="23"/>
        <v>20</v>
      </c>
      <c r="C32" s="12">
        <v>0.5</v>
      </c>
      <c r="D32" s="13" t="s">
        <v>6</v>
      </c>
      <c r="E32" s="14" t="s">
        <v>33</v>
      </c>
      <c r="F32" s="14" t="s">
        <v>34</v>
      </c>
      <c r="I32" s="15"/>
    </row>
    <row r="33" spans="1:9" ht="30" x14ac:dyDescent="0.25">
      <c r="A33" s="7">
        <v>43229</v>
      </c>
      <c r="B33" s="19">
        <f t="shared" ref="B33:B38" si="24">WEEKNUM(A33)</f>
        <v>19</v>
      </c>
      <c r="C33" s="12">
        <v>0.75</v>
      </c>
      <c r="D33" s="13" t="s">
        <v>9</v>
      </c>
      <c r="E33" s="14" t="s">
        <v>21</v>
      </c>
      <c r="F33" s="14"/>
      <c r="I33" s="15"/>
    </row>
    <row r="34" spans="1:9" ht="30" x14ac:dyDescent="0.25">
      <c r="A34" s="7">
        <v>43229</v>
      </c>
      <c r="B34" s="19">
        <f t="shared" si="24"/>
        <v>19</v>
      </c>
      <c r="C34" s="12">
        <v>4</v>
      </c>
      <c r="D34" s="13" t="s">
        <v>6</v>
      </c>
      <c r="E34" s="14" t="s">
        <v>31</v>
      </c>
      <c r="F34" s="14"/>
      <c r="I34" s="15"/>
    </row>
    <row r="35" spans="1:9" x14ac:dyDescent="0.25">
      <c r="A35" s="7">
        <v>43228</v>
      </c>
      <c r="B35" s="19">
        <f t="shared" si="24"/>
        <v>19</v>
      </c>
      <c r="C35" s="12">
        <v>3.75</v>
      </c>
      <c r="D35" s="13" t="s">
        <v>6</v>
      </c>
      <c r="E35" s="14" t="s">
        <v>19</v>
      </c>
      <c r="F35" s="14" t="s">
        <v>20</v>
      </c>
      <c r="I35" s="15"/>
    </row>
    <row r="36" spans="1:9" x14ac:dyDescent="0.25">
      <c r="A36" s="7">
        <v>43228</v>
      </c>
      <c r="B36" s="19">
        <f t="shared" si="24"/>
        <v>19</v>
      </c>
      <c r="C36" s="12">
        <v>2.5</v>
      </c>
      <c r="D36" s="13" t="s">
        <v>6</v>
      </c>
      <c r="E36" s="14" t="s">
        <v>16</v>
      </c>
      <c r="F36" s="14" t="s">
        <v>17</v>
      </c>
      <c r="I36" s="15"/>
    </row>
    <row r="37" spans="1:9" x14ac:dyDescent="0.25">
      <c r="A37" s="7">
        <v>43228</v>
      </c>
      <c r="B37" s="19">
        <f t="shared" si="24"/>
        <v>19</v>
      </c>
      <c r="C37" s="12">
        <v>1.5</v>
      </c>
      <c r="D37" s="13" t="s">
        <v>6</v>
      </c>
      <c r="E37" s="14" t="s">
        <v>15</v>
      </c>
      <c r="F37" s="14" t="s">
        <v>18</v>
      </c>
      <c r="I37" s="15"/>
    </row>
    <row r="38" spans="1:9" ht="45" x14ac:dyDescent="0.25">
      <c r="A38" s="7">
        <v>43228</v>
      </c>
      <c r="B38" s="19">
        <f t="shared" si="24"/>
        <v>19</v>
      </c>
      <c r="C38" s="12">
        <v>0.75</v>
      </c>
      <c r="D38" s="13" t="s">
        <v>6</v>
      </c>
      <c r="E38" s="14" t="s">
        <v>14</v>
      </c>
      <c r="F38" s="14" t="s">
        <v>52</v>
      </c>
      <c r="I38" s="15"/>
    </row>
    <row r="39" spans="1:9" x14ac:dyDescent="0.25">
      <c r="A39"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8"/>
  <sheetViews>
    <sheetView tabSelected="1" workbookViewId="0">
      <selection activeCell="D15" sqref="D15"/>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10</v>
      </c>
      <c r="F4" t="s">
        <v>11</v>
      </c>
    </row>
    <row r="5" spans="1:6" x14ac:dyDescent="0.25">
      <c r="A5" s="5">
        <v>43238</v>
      </c>
      <c r="B5" s="3">
        <v>2.25</v>
      </c>
      <c r="C5" s="3">
        <v>3</v>
      </c>
      <c r="D5" s="3"/>
      <c r="E5" s="3"/>
      <c r="F5" s="3">
        <v>5.25</v>
      </c>
    </row>
    <row r="6" spans="1:6" x14ac:dyDescent="0.25">
      <c r="A6" s="5">
        <v>43237</v>
      </c>
      <c r="B6" s="3">
        <v>0.5</v>
      </c>
      <c r="C6" s="3">
        <v>6.5</v>
      </c>
      <c r="D6" s="3"/>
      <c r="E6" s="3"/>
      <c r="F6" s="3">
        <v>7</v>
      </c>
    </row>
    <row r="7" spans="1:6" x14ac:dyDescent="0.25">
      <c r="A7" s="5">
        <v>43236</v>
      </c>
      <c r="B7" s="3"/>
      <c r="C7" s="3">
        <v>4.75</v>
      </c>
      <c r="D7" s="3"/>
      <c r="E7" s="3"/>
      <c r="F7" s="3">
        <v>4.75</v>
      </c>
    </row>
    <row r="8" spans="1:6" x14ac:dyDescent="0.25">
      <c r="A8" s="5">
        <v>43235</v>
      </c>
      <c r="B8" s="3"/>
      <c r="C8" s="3">
        <v>3.75</v>
      </c>
      <c r="D8" s="3">
        <v>1.5</v>
      </c>
      <c r="E8" s="3"/>
      <c r="F8" s="3">
        <v>5.25</v>
      </c>
    </row>
    <row r="9" spans="1:6" x14ac:dyDescent="0.25">
      <c r="A9" s="5">
        <v>43229</v>
      </c>
      <c r="B9" s="3">
        <v>0.75</v>
      </c>
      <c r="C9" s="3"/>
      <c r="D9" s="3">
        <v>4</v>
      </c>
      <c r="E9" s="3"/>
      <c r="F9" s="3">
        <v>4.75</v>
      </c>
    </row>
    <row r="10" spans="1:6" x14ac:dyDescent="0.25">
      <c r="A10" s="5">
        <v>43228</v>
      </c>
      <c r="B10" s="3"/>
      <c r="C10" s="3"/>
      <c r="D10" s="3">
        <v>8.5</v>
      </c>
      <c r="E10" s="3"/>
      <c r="F10" s="3">
        <v>8.5</v>
      </c>
    </row>
    <row r="11" spans="1:6" x14ac:dyDescent="0.25">
      <c r="A11" s="5">
        <v>43234</v>
      </c>
      <c r="B11" s="3"/>
      <c r="C11" s="3"/>
      <c r="D11" s="3">
        <v>0.5</v>
      </c>
      <c r="E11" s="3"/>
      <c r="F11" s="3">
        <v>0.5</v>
      </c>
    </row>
    <row r="12" spans="1:6" x14ac:dyDescent="0.25">
      <c r="A12" s="5">
        <v>43242</v>
      </c>
      <c r="B12" s="3"/>
      <c r="C12" s="3">
        <v>7</v>
      </c>
      <c r="D12" s="3"/>
      <c r="E12" s="3"/>
      <c r="F12" s="3">
        <v>7</v>
      </c>
    </row>
    <row r="13" spans="1:6" x14ac:dyDescent="0.25">
      <c r="A13" s="5">
        <v>43243</v>
      </c>
      <c r="B13" s="3"/>
      <c r="C13" s="3">
        <v>3.41</v>
      </c>
      <c r="D13" s="3">
        <v>0.33</v>
      </c>
      <c r="E13" s="3"/>
      <c r="F13" s="3">
        <v>3.74</v>
      </c>
    </row>
    <row r="14" spans="1:6" x14ac:dyDescent="0.25">
      <c r="A14" s="5">
        <v>43244</v>
      </c>
      <c r="B14" s="3">
        <v>1.5</v>
      </c>
      <c r="C14" s="3">
        <v>10.4</v>
      </c>
      <c r="D14" s="3"/>
      <c r="E14" s="3"/>
      <c r="F14" s="3">
        <v>11.9</v>
      </c>
    </row>
    <row r="15" spans="1:6" x14ac:dyDescent="0.25">
      <c r="A15" s="5">
        <v>43249</v>
      </c>
      <c r="B15" s="3"/>
      <c r="C15" s="3">
        <v>6</v>
      </c>
      <c r="D15" s="3"/>
      <c r="E15" s="3"/>
      <c r="F15" s="3">
        <v>6</v>
      </c>
    </row>
    <row r="16" spans="1:6" x14ac:dyDescent="0.25">
      <c r="A16" s="5">
        <v>43250</v>
      </c>
      <c r="B16" s="3">
        <v>2.25</v>
      </c>
      <c r="C16" s="3">
        <v>1.5</v>
      </c>
      <c r="D16" s="3"/>
      <c r="E16" s="3"/>
      <c r="F16" s="3">
        <v>3.75</v>
      </c>
    </row>
    <row r="17" spans="1:6" x14ac:dyDescent="0.25">
      <c r="A17" s="5">
        <v>43251</v>
      </c>
      <c r="B17" s="3">
        <v>2.25</v>
      </c>
      <c r="C17" s="3">
        <v>3.75</v>
      </c>
      <c r="D17" s="3"/>
      <c r="E17" s="3">
        <v>0.75</v>
      </c>
      <c r="F17" s="3">
        <v>6.75</v>
      </c>
    </row>
    <row r="18" spans="1:6" x14ac:dyDescent="0.25">
      <c r="A18" s="5" t="s">
        <v>11</v>
      </c>
      <c r="B18" s="3">
        <v>9.5</v>
      </c>
      <c r="C18" s="3">
        <v>50.06</v>
      </c>
      <c r="D18" s="3">
        <v>14.83</v>
      </c>
      <c r="E18" s="3">
        <v>0.75</v>
      </c>
      <c r="F18" s="3">
        <v>75.14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2018-05-31T14:42:49Z</dcterms:modified>
</cp:coreProperties>
</file>