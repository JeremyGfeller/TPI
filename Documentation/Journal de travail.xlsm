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activeTab="1"/>
  </bookViews>
  <sheets>
    <sheet name="Journal" sheetId="1" r:id="rId1"/>
    <sheet name="Totaux" sheetId="4" r:id="rId2"/>
    <sheet name="Paramètres" sheetId="2" r:id="rId3"/>
  </sheets>
  <calcPr calcId="162913"/>
  <pivotCaches>
    <pivotCache cacheId="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l="1"/>
  <c r="B5" i="1" l="1"/>
  <c r="B6" i="1" l="1"/>
  <c r="B7" i="1" l="1"/>
  <c r="B8" i="1" l="1"/>
  <c r="B9" i="1" l="1"/>
  <c r="B10" i="1"/>
  <c r="B11" i="1" l="1"/>
  <c r="B12" i="1" l="1"/>
  <c r="B13" i="1" l="1"/>
  <c r="B14" i="1"/>
  <c r="B15" i="1"/>
  <c r="B16" i="1" l="1"/>
  <c r="B17" i="1"/>
  <c r="B18" i="1" l="1"/>
  <c r="B19" i="1" l="1"/>
  <c r="B20" i="1" l="1"/>
  <c r="B21" i="1" l="1"/>
  <c r="B22" i="1" l="1"/>
  <c r="B23" i="1"/>
  <c r="B24" i="1"/>
  <c r="B25" i="1"/>
  <c r="B26" i="1"/>
  <c r="B27" i="1"/>
  <c r="B28" i="1"/>
  <c r="B29" i="1"/>
  <c r="B30" i="1"/>
  <c r="B31" i="1"/>
  <c r="B32" i="1"/>
  <c r="B33" i="1"/>
  <c r="B34" i="1" l="1"/>
  <c r="B35" i="1"/>
</calcChain>
</file>

<file path=xl/sharedStrings.xml><?xml version="1.0" encoding="utf-8"?>
<sst xmlns="http://schemas.openxmlformats.org/spreadsheetml/2006/main" count="95" uniqueCount="57">
  <si>
    <t>Description</t>
  </si>
  <si>
    <t>Remarques/problèmes</t>
  </si>
  <si>
    <t>Jour</t>
  </si>
  <si>
    <t>Temps [h]</t>
  </si>
  <si>
    <t>Type</t>
  </si>
  <si>
    <t>Types de tâches</t>
  </si>
  <si>
    <t>Analyse</t>
  </si>
  <si>
    <t>Implémentation</t>
  </si>
  <si>
    <t>Tests</t>
  </si>
  <si>
    <t>Documentation</t>
  </si>
  <si>
    <t>Absence</t>
  </si>
  <si>
    <t>Total général</t>
  </si>
  <si>
    <t>Semaine</t>
  </si>
  <si>
    <t>Somme de Temps [h]</t>
  </si>
  <si>
    <t>Commencement du TPI</t>
  </si>
  <si>
    <t>Création de la planification initiale</t>
  </si>
  <si>
    <t>Création des maquettes du site et de l'application mobile</t>
  </si>
  <si>
    <t>Créé à l'aide de Balsamiq</t>
  </si>
  <si>
    <t>Créé à l'aide de Ganntt</t>
  </si>
  <si>
    <t xml:space="preserve">Création des Uses cases et scénarios </t>
  </si>
  <si>
    <t>Créé à l'aide de Word</t>
  </si>
  <si>
    <t xml:space="preserve">Commencement de la documentation du projet. J'ai rédigé l'introduction, les objectifs et la planification initiale. </t>
  </si>
  <si>
    <t>Finalisation du MCD et MLD. J'ai ajouté de nouvelles modifications dans mes tables.</t>
  </si>
  <si>
    <t>Commencement de l'application mobile. J'ai ajouté les champs qui apparaitront sur les deux pages qui seront présentes dans l'application. J'ai aussi ajouté la partie qui me permet de scanner un QR Code et que l'application me renvoie les informations que j'ai choisies depuis ma base de données.</t>
  </si>
  <si>
    <t>J'ai essayé d'envoyer des requêtes à ma base de données depuis mon application mobile en me référant à une vidéo trouvée sur YouTube mais j'ai eu des problèmes, mes données que j'entrais ne s'envoyait pas, du coup ma base de données ne recevait aucune requête.</t>
  </si>
  <si>
    <t>Lien de la vidéo en question : https://www.youtube.com/watch?v=1v-BbgFM5ps</t>
  </si>
  <si>
    <t>Suite à mon problème, M. Chavey est venu me donner un coup de main afin de faire fonctionner me application pour que je puisse continuer à travailler, mais il n'a non plus pas trouvé la solution.</t>
  </si>
  <si>
    <t>Mon problème qui est survenu avec mon application mobile, s'est réglé grâce à l'aide de M. Carrel, grâce à lui je peux envoyer des informations à ma base de données et mes requêtes s'effectuent</t>
  </si>
  <si>
    <t>Une de mes deux pages est terminée, j'ai commencé à faire la deuxième. Sur la page terminée le caviste peut scanner un QR Code, recevoir les informations nécessaires et peut, s'il le souhaite, ajuster le stock dans la base de données. Sur la deuxième page il peut ajouter un mouvement, c'est-à-dire qu'il peut enlever et remettre des bouteilles dans la base de données et signer les mouvements avec son prénom.</t>
  </si>
  <si>
    <t>J'ai fait ma documentation du projet. J'ai ajouté mes maquettes et uses cases et scénarios que j'ai amélioré.</t>
  </si>
  <si>
    <t xml:space="preserve">Suite à la demande d'un de mes experts </t>
  </si>
  <si>
    <t>Commencer à faire le MCD et le MLD de la base de données. J'ai montré ce que j'avais fait à M. Chavey, mon chef de projet et ont amené quelques modifications à ce que j'avais fait.</t>
  </si>
  <si>
    <t>Changement du fichier pour mon journal de travail</t>
  </si>
  <si>
    <t xml:space="preserve">Entretien avec le client pour lui montrer mes maquettes. </t>
  </si>
  <si>
    <t xml:space="preserve">Il a voulu faire quelques modifications </t>
  </si>
  <si>
    <t>Commencemnt d'une page du site web, j'ai mis quelques champs que je voulais et après j'ai commencé à apprendre comment faire des requêtes sql avec de l'ajax</t>
  </si>
  <si>
    <t>Faire la documentation, étoffer la partie analyse de la documentation</t>
  </si>
  <si>
    <t>J'ai continué ma page que j'avais commencé le 18 mai en faisant ma requête que j'avais besoin pour afficher mes valeurs sur la page du site. J'ai fait une requête avec de l'ajax pour reprendre une valeur dans ma base de données. Grâce à cela l'utilisateur n'aura pas besoin de recharger la page pour avoir la valeur souhaitée. Il est possible de faire des mouvements, c'est-à-dire, entrer ou sortir des bouteilles.</t>
  </si>
  <si>
    <t>J'ai terminé la page pour l'ajout d'un nouveau pas encore en cave sur le site.</t>
  </si>
  <si>
    <t>Création et finaliasation de la page qui résume le stock du site.</t>
  </si>
  <si>
    <t>Visite de l'expert n°2, M. Laurent Tuchat. Nous avons disctué de l'avancement du projet en général, j'ai pu lui poser mes questions.</t>
  </si>
  <si>
    <t xml:space="preserve">Création de la fonction qui me permettra de générer les qr code pour chaque millésime ensuite chaque QR Code qui est généré je l'affiche dans une page pour que le caviste puisse l'imprimer plus tard. </t>
  </si>
  <si>
    <t>Création de la page qui me permettra d'imprimer mes QR Code pour une bouteille de vin. Lors de l'impression je dois cacher des choses pour pas qu'elles apparaissent lors de l'impression.</t>
  </si>
  <si>
    <t>Création d'un mail à envoyer au webmaster du site du cercle d'Yverdon pour lui demander des accès. Sur ma page qui affiche mes QR Codes, quand on clique sur le bouton pour l'imprimer j'ai enlevé l'URL qui s'affichait en haut lors de la capture.</t>
  </si>
  <si>
    <t xml:space="preserve">J'ai commencé à faire la partie de l'application mobile afin qu'elle puisse être utilisé hors connexion et qu'il y ait une synchronisation qui se fasse après avoir la connexion. </t>
  </si>
  <si>
    <t>Je me suis aidé de cette vidéo pour créer ma base de données sur le mobile: https://www.youtube.com/watch?v=Nn5RQpZBDsg</t>
  </si>
  <si>
    <t xml:space="preserve">J'ai essayé de faire créer des tables dans SQLite sur le natel mais je n'arrive pas à rajouter des données à l'intérieure. </t>
  </si>
  <si>
    <t>Commencement à mettre le site sous format MVC</t>
  </si>
  <si>
    <t>J'ai continué de passer le site sous le format MVC</t>
  </si>
  <si>
    <t>J'ai continué de travailler sur mon application mobile pour faire la base de données et mettre des données dedans, mais j'ai eu des erreurs et je ne pouvais pas afficher les données présent dans la base. M. Carrel est venu me donner un coup de main mais nous n'avons pas trouvé de solution.</t>
  </si>
  <si>
    <t xml:space="preserve">Pour chaque changement dans le code je devais tout rebuild au niveau de l'application ce qui prenait du temps. </t>
  </si>
  <si>
    <t>J'ai fait de la documentation, j'ai ajouté des choses dans la partie réalisation.</t>
  </si>
  <si>
    <t>J'ai reçu mon cahier des charges que j'ai signé, j'ai fait la rencontre de mon Expert n°1, M. Alain-Philippe Garraux</t>
  </si>
  <si>
    <t>J'ai installé un emulateur sur l'ordinateur du CPNV, en parallèle de l'installation j'ai continué à passer mes pages en MVC</t>
  </si>
  <si>
    <t xml:space="preserve">On a cherché avec M. Carrel la solution pour utiliser SQLite sur l'application mobile mais en vain. Du coup on est passé sur une autre solution qui est d'utiliser la fonction storage de ionic. Il m'a montré comment elle fonctionnait et j'ai commencé à faire mes tests.  </t>
  </si>
  <si>
    <t xml:space="preserve">Mis en forme du site avec le template du cercle d'yverdon </t>
  </si>
  <si>
    <t>Documentation, ajout de choses dans la partie réalisation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</si>
</sst>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5">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applyProtection="1">
      <protection locked="0"/>
    </xf>
    <xf numFmtId="0" fontId="4" fillId="0" borderId="0" xfId="0" applyFont="1" applyBorder="1" applyProtection="1">
      <protection locked="0"/>
    </xf>
    <xf numFmtId="0" fontId="0" fillId="0" borderId="0" xfId="0"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50.463893981483" createdVersion="4" refreshedVersion="6" minRefreshableVersion="3" recordCount="34">
  <cacheSource type="worksheet">
    <worksheetSource ref="A1:D35" sheet="Journal"/>
  </cacheSource>
  <cacheFields count="4">
    <cacheField name="Jour" numFmtId="16">
      <sharedItems containsSemiMixedTypes="0" containsNonDate="0" containsDate="1" containsString="0" minDate="2018-01-01T00:00:00" maxDate="2018-05-30T00:00:00" count="12">
        <d v="2018-05-29T00:00:00"/>
        <d v="2018-05-24T00:00:00"/>
        <d v="2018-05-23T00:00:00"/>
        <d v="2018-05-22T00:00:00"/>
        <d v="2018-05-18T00:00:00"/>
        <d v="2018-05-17T00:00:00"/>
        <d v="2018-05-16T00:00:00"/>
        <d v="2018-05-15T00:00:00"/>
        <d v="2018-05-14T00:00:00"/>
        <d v="2018-05-09T00:00:00"/>
        <d v="2018-05-08T00:00:00"/>
        <d v="2018-01-01T00:00:00" u="1"/>
      </sharedItems>
    </cacheField>
    <cacheField name="Semaine" numFmtId="1">
      <sharedItems containsSemiMixedTypes="0" containsString="0" containsNumber="1" containsInteger="1" minValue="19" maxValue="22"/>
    </cacheField>
    <cacheField name="Temps [h]" numFmtId="2">
      <sharedItems containsSemiMixedTypes="0" containsString="0" containsNumber="1" minValue="0.33" maxValue="4.75"/>
    </cacheField>
    <cacheField name="Type" numFmtId="0">
      <sharedItems count="4">
        <s v="Documentation"/>
        <s v="Implémentation"/>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4">
  <r>
    <x v="0"/>
    <n v="22"/>
    <n v="2.25"/>
    <x v="0"/>
  </r>
  <r>
    <x v="0"/>
    <n v="22"/>
    <n v="1.5"/>
    <x v="1"/>
  </r>
  <r>
    <x v="0"/>
    <n v="22"/>
    <n v="4.5"/>
    <x v="1"/>
  </r>
  <r>
    <x v="0"/>
    <n v="22"/>
    <n v="1.5"/>
    <x v="1"/>
  </r>
  <r>
    <x v="1"/>
    <n v="21"/>
    <n v="1.5"/>
    <x v="0"/>
  </r>
  <r>
    <x v="1"/>
    <n v="21"/>
    <n v="2.15"/>
    <x v="1"/>
  </r>
  <r>
    <x v="1"/>
    <n v="21"/>
    <n v="1.5"/>
    <x v="1"/>
  </r>
  <r>
    <x v="1"/>
    <n v="21"/>
    <n v="0.75"/>
    <x v="1"/>
  </r>
  <r>
    <x v="1"/>
    <n v="21"/>
    <n v="2.25"/>
    <x v="1"/>
  </r>
  <r>
    <x v="1"/>
    <n v="21"/>
    <n v="2.25"/>
    <x v="1"/>
  </r>
  <r>
    <x v="1"/>
    <n v="21"/>
    <n v="1.5"/>
    <x v="1"/>
  </r>
  <r>
    <x v="2"/>
    <n v="21"/>
    <n v="0.75"/>
    <x v="1"/>
  </r>
  <r>
    <x v="2"/>
    <n v="21"/>
    <n v="0.33"/>
    <x v="2"/>
  </r>
  <r>
    <x v="2"/>
    <n v="21"/>
    <n v="2.66"/>
    <x v="1"/>
  </r>
  <r>
    <x v="3"/>
    <n v="21"/>
    <n v="1.5"/>
    <x v="1"/>
  </r>
  <r>
    <x v="3"/>
    <n v="21"/>
    <n v="1.5"/>
    <x v="1"/>
  </r>
  <r>
    <x v="3"/>
    <n v="21"/>
    <n v="4"/>
    <x v="1"/>
  </r>
  <r>
    <x v="4"/>
    <n v="20"/>
    <n v="1.5"/>
    <x v="0"/>
  </r>
  <r>
    <x v="4"/>
    <n v="20"/>
    <n v="3"/>
    <x v="1"/>
  </r>
  <r>
    <x v="4"/>
    <n v="20"/>
    <n v="0.75"/>
    <x v="0"/>
  </r>
  <r>
    <x v="5"/>
    <n v="20"/>
    <n v="0.5"/>
    <x v="0"/>
  </r>
  <r>
    <x v="5"/>
    <n v="20"/>
    <n v="4.75"/>
    <x v="1"/>
  </r>
  <r>
    <x v="5"/>
    <n v="20"/>
    <n v="1.75"/>
    <x v="1"/>
  </r>
  <r>
    <x v="6"/>
    <n v="20"/>
    <n v="0.75"/>
    <x v="1"/>
  </r>
  <r>
    <x v="6"/>
    <n v="20"/>
    <n v="4"/>
    <x v="1"/>
  </r>
  <r>
    <x v="7"/>
    <n v="20"/>
    <n v="3.75"/>
    <x v="1"/>
  </r>
  <r>
    <x v="7"/>
    <n v="20"/>
    <n v="1.5"/>
    <x v="2"/>
  </r>
  <r>
    <x v="8"/>
    <n v="20"/>
    <n v="0.5"/>
    <x v="2"/>
  </r>
  <r>
    <x v="9"/>
    <n v="19"/>
    <n v="0.75"/>
    <x v="0"/>
  </r>
  <r>
    <x v="9"/>
    <n v="19"/>
    <n v="4"/>
    <x v="2"/>
  </r>
  <r>
    <x v="10"/>
    <n v="19"/>
    <n v="3.75"/>
    <x v="2"/>
  </r>
  <r>
    <x v="10"/>
    <n v="19"/>
    <n v="2.5"/>
    <x v="2"/>
  </r>
  <r>
    <x v="10"/>
    <n v="19"/>
    <n v="1.5"/>
    <x v="2"/>
  </r>
  <r>
    <x v="10"/>
    <n v="19"/>
    <n v="0.75"/>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6" firstHeaderRow="1" firstDataRow="2" firstDataCol="1"/>
  <pivotFields count="4">
    <pivotField axis="axisRow" numFmtId="16" showAll="0">
      <items count="13">
        <item m="1" x="11"/>
        <item x="4"/>
        <item x="5"/>
        <item x="6"/>
        <item x="7"/>
        <item x="9"/>
        <item x="10"/>
        <item x="8"/>
        <item x="3"/>
        <item x="2"/>
        <item x="1"/>
        <item x="0"/>
        <item t="default"/>
      </items>
    </pivotField>
    <pivotField showAll="0"/>
    <pivotField dataField="1" showAll="0"/>
    <pivotField axis="axisCol" showAll="0">
      <items count="5">
        <item x="0"/>
        <item x="1"/>
        <item x="2"/>
        <item m="1" x="3"/>
        <item t="default"/>
      </items>
    </pivotField>
  </pivotFields>
  <rowFields count="1">
    <field x="0"/>
  </rowFields>
  <rowItems count="12">
    <i>
      <x v="1"/>
    </i>
    <i>
      <x v="2"/>
    </i>
    <i>
      <x v="3"/>
    </i>
    <i>
      <x v="4"/>
    </i>
    <i>
      <x v="5"/>
    </i>
    <i>
      <x v="6"/>
    </i>
    <i>
      <x v="7"/>
    </i>
    <i>
      <x v="8"/>
    </i>
    <i>
      <x v="9"/>
    </i>
    <i>
      <x v="10"/>
    </i>
    <i>
      <x v="11"/>
    </i>
    <i t="grand">
      <x/>
    </i>
  </rowItems>
  <colFields count="1">
    <field x="3"/>
  </colFields>
  <colItems count="4">
    <i>
      <x/>
    </i>
    <i>
      <x v="1"/>
    </i>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36"/>
  <sheetViews>
    <sheetView workbookViewId="0">
      <selection activeCell="E2" sqref="E2"/>
    </sheetView>
  </sheetViews>
  <sheetFormatPr baseColWidth="10" defaultColWidth="9.140625" defaultRowHeight="15" x14ac:dyDescent="0.25"/>
  <cols>
    <col min="1" max="1" width="6.85546875" style="8" customWidth="1"/>
    <col min="2" max="2" width="8.42578125" style="20" hidden="1" customWidth="1"/>
    <col min="3" max="3" width="9.7109375" style="16" customWidth="1"/>
    <col min="4" max="4" width="15.42578125" style="8" bestFit="1" customWidth="1"/>
    <col min="5" max="5" width="84.85546875" style="17" bestFit="1" customWidth="1"/>
    <col min="6" max="6" width="38.140625" style="17" customWidth="1"/>
    <col min="7" max="7" width="13.28515625" style="11" bestFit="1" customWidth="1"/>
    <col min="8" max="8" width="15.28515625" style="11" bestFit="1" customWidth="1"/>
    <col min="9" max="16384" width="9.140625" style="11"/>
  </cols>
  <sheetData>
    <row r="1" spans="1:8" ht="24" customHeight="1" x14ac:dyDescent="0.25">
      <c r="A1" s="6" t="s">
        <v>2</v>
      </c>
      <c r="B1" s="18" t="s">
        <v>12</v>
      </c>
      <c r="C1" s="9" t="s">
        <v>3</v>
      </c>
      <c r="D1" s="6" t="s">
        <v>4</v>
      </c>
      <c r="E1" s="10" t="s">
        <v>0</v>
      </c>
      <c r="F1" s="10" t="s">
        <v>1</v>
      </c>
      <c r="G1" s="23"/>
      <c r="H1" s="24"/>
    </row>
    <row r="2" spans="1:8" x14ac:dyDescent="0.25">
      <c r="A2" s="7">
        <v>43249</v>
      </c>
      <c r="B2" s="19">
        <f t="shared" ref="B2" si="0">WEEKNUM(A2)</f>
        <v>22</v>
      </c>
      <c r="C2" s="12">
        <v>2.25</v>
      </c>
      <c r="D2" s="13" t="s">
        <v>9</v>
      </c>
      <c r="E2" s="14" t="s">
        <v>56</v>
      </c>
      <c r="F2" s="14"/>
      <c r="G2" s="23"/>
      <c r="H2" s="24"/>
    </row>
    <row r="3" spans="1:8" x14ac:dyDescent="0.25">
      <c r="A3" s="7">
        <v>43249</v>
      </c>
      <c r="B3" s="19">
        <f t="shared" ref="B3" si="1">WEEKNUM(A3)</f>
        <v>22</v>
      </c>
      <c r="C3" s="12">
        <v>1.5</v>
      </c>
      <c r="D3" s="13" t="s">
        <v>7</v>
      </c>
      <c r="E3" s="14" t="s">
        <v>55</v>
      </c>
      <c r="F3" s="14"/>
      <c r="G3" s="23"/>
      <c r="H3" s="24"/>
    </row>
    <row r="4" spans="1:8" ht="45" x14ac:dyDescent="0.25">
      <c r="A4" s="7">
        <v>43249</v>
      </c>
      <c r="B4" s="19">
        <f t="shared" ref="B4" si="2">WEEKNUM(A4)</f>
        <v>22</v>
      </c>
      <c r="C4" s="12">
        <v>4.5</v>
      </c>
      <c r="D4" s="13" t="s">
        <v>7</v>
      </c>
      <c r="E4" s="14" t="s">
        <v>54</v>
      </c>
      <c r="F4" s="14"/>
      <c r="G4" s="23"/>
      <c r="H4" s="24"/>
    </row>
    <row r="5" spans="1:8" ht="30" x14ac:dyDescent="0.25">
      <c r="A5" s="7">
        <v>43249</v>
      </c>
      <c r="B5" s="19">
        <f t="shared" ref="B5" si="3">WEEKNUM(A5)</f>
        <v>22</v>
      </c>
      <c r="C5" s="12">
        <v>1.5</v>
      </c>
      <c r="D5" s="13" t="s">
        <v>7</v>
      </c>
      <c r="E5" s="14" t="s">
        <v>53</v>
      </c>
      <c r="F5" s="14"/>
      <c r="G5" s="23"/>
      <c r="H5" s="24"/>
    </row>
    <row r="6" spans="1:8" x14ac:dyDescent="0.25">
      <c r="A6" s="7">
        <v>43244</v>
      </c>
      <c r="B6" s="19">
        <f t="shared" ref="B6" si="4">WEEKNUM(A6)</f>
        <v>21</v>
      </c>
      <c r="C6" s="12">
        <v>1.5</v>
      </c>
      <c r="D6" s="13" t="s">
        <v>9</v>
      </c>
      <c r="E6" s="14" t="s">
        <v>51</v>
      </c>
      <c r="F6" s="14"/>
      <c r="G6" s="23"/>
      <c r="H6" s="24"/>
    </row>
    <row r="7" spans="1:8" ht="60" x14ac:dyDescent="0.25">
      <c r="A7" s="7">
        <v>43244</v>
      </c>
      <c r="B7" s="19">
        <f t="shared" ref="B7" si="5">WEEKNUM(A7)</f>
        <v>21</v>
      </c>
      <c r="C7" s="12">
        <v>2.15</v>
      </c>
      <c r="D7" s="13" t="s">
        <v>7</v>
      </c>
      <c r="E7" s="14" t="s">
        <v>49</v>
      </c>
      <c r="F7" s="14" t="s">
        <v>50</v>
      </c>
      <c r="G7" s="23"/>
      <c r="H7" s="24"/>
    </row>
    <row r="8" spans="1:8" x14ac:dyDescent="0.25">
      <c r="A8" s="7">
        <v>43244</v>
      </c>
      <c r="B8" s="19">
        <f t="shared" ref="B8" si="6">WEEKNUM(A8)</f>
        <v>21</v>
      </c>
      <c r="C8" s="12">
        <v>1.5</v>
      </c>
      <c r="D8" s="13" t="s">
        <v>7</v>
      </c>
      <c r="E8" s="14" t="s">
        <v>48</v>
      </c>
      <c r="F8" s="14"/>
      <c r="G8" s="23"/>
      <c r="H8" s="24"/>
    </row>
    <row r="9" spans="1:8" x14ac:dyDescent="0.25">
      <c r="A9" s="7">
        <v>43244</v>
      </c>
      <c r="B9" s="19">
        <f t="shared" ref="B9" si="7">WEEKNUM(A9)</f>
        <v>21</v>
      </c>
      <c r="C9" s="12">
        <v>0.75</v>
      </c>
      <c r="D9" s="13" t="s">
        <v>7</v>
      </c>
      <c r="E9" s="14" t="s">
        <v>47</v>
      </c>
      <c r="F9" s="14"/>
      <c r="G9" s="23"/>
      <c r="H9" s="24"/>
    </row>
    <row r="10" spans="1:8" ht="30" x14ac:dyDescent="0.25">
      <c r="A10" s="7">
        <v>43244</v>
      </c>
      <c r="B10" s="19">
        <f t="shared" ref="B10" si="8">WEEKNUM(A10)</f>
        <v>21</v>
      </c>
      <c r="C10" s="12">
        <v>2.25</v>
      </c>
      <c r="D10" s="13" t="s">
        <v>7</v>
      </c>
      <c r="E10" s="14" t="s">
        <v>46</v>
      </c>
      <c r="F10" s="14"/>
      <c r="G10" s="23"/>
      <c r="H10" s="24"/>
    </row>
    <row r="11" spans="1:8" ht="60" x14ac:dyDescent="0.25">
      <c r="A11" s="7">
        <v>43244</v>
      </c>
      <c r="B11" s="19">
        <f t="shared" ref="B11" si="9">WEEKNUM(A11)</f>
        <v>21</v>
      </c>
      <c r="C11" s="12">
        <v>2.25</v>
      </c>
      <c r="D11" s="13" t="s">
        <v>7</v>
      </c>
      <c r="E11" s="14" t="s">
        <v>44</v>
      </c>
      <c r="F11" s="14" t="s">
        <v>45</v>
      </c>
      <c r="G11" s="23"/>
      <c r="H11" s="24"/>
    </row>
    <row r="12" spans="1:8" ht="45" x14ac:dyDescent="0.25">
      <c r="A12" s="7">
        <v>43244</v>
      </c>
      <c r="B12" s="19">
        <f t="shared" ref="B12" si="10">WEEKNUM(A12)</f>
        <v>21</v>
      </c>
      <c r="C12" s="12">
        <v>1.5</v>
      </c>
      <c r="D12" s="13" t="s">
        <v>7</v>
      </c>
      <c r="E12" s="14" t="s">
        <v>43</v>
      </c>
      <c r="F12" s="14"/>
      <c r="G12" s="23"/>
      <c r="H12" s="24"/>
    </row>
    <row r="13" spans="1:8" ht="45" x14ac:dyDescent="0.25">
      <c r="A13" s="7">
        <v>43243</v>
      </c>
      <c r="B13" s="19">
        <f t="shared" ref="B13" si="11">WEEKNUM(A13)</f>
        <v>21</v>
      </c>
      <c r="C13" s="12">
        <v>0.75</v>
      </c>
      <c r="D13" s="13" t="s">
        <v>7</v>
      </c>
      <c r="E13" s="14" t="s">
        <v>42</v>
      </c>
      <c r="F13" s="14"/>
      <c r="G13" s="23"/>
      <c r="H13" s="24"/>
    </row>
    <row r="14" spans="1:8" ht="30" x14ac:dyDescent="0.25">
      <c r="A14" s="7">
        <v>43243</v>
      </c>
      <c r="B14" s="19">
        <f t="shared" ref="B14" si="12">WEEKNUM(A14)</f>
        <v>21</v>
      </c>
      <c r="C14" s="12">
        <v>0.33</v>
      </c>
      <c r="D14" s="13" t="s">
        <v>6</v>
      </c>
      <c r="E14" s="14" t="s">
        <v>40</v>
      </c>
      <c r="F14" s="14"/>
      <c r="G14" s="23"/>
      <c r="H14" s="24"/>
    </row>
    <row r="15" spans="1:8" ht="45" x14ac:dyDescent="0.25">
      <c r="A15" s="7">
        <v>43243</v>
      </c>
      <c r="B15" s="19">
        <f t="shared" ref="B15" si="13">WEEKNUM(A15)</f>
        <v>21</v>
      </c>
      <c r="C15" s="12">
        <v>2.66</v>
      </c>
      <c r="D15" s="13" t="s">
        <v>7</v>
      </c>
      <c r="E15" s="14" t="s">
        <v>41</v>
      </c>
      <c r="F15" s="14"/>
      <c r="G15" s="23"/>
      <c r="H15" s="24"/>
    </row>
    <row r="16" spans="1:8" x14ac:dyDescent="0.25">
      <c r="A16" s="7">
        <v>43242</v>
      </c>
      <c r="B16" s="19">
        <f t="shared" ref="B16" si="14">WEEKNUM(A16)</f>
        <v>21</v>
      </c>
      <c r="C16" s="12">
        <v>1.5</v>
      </c>
      <c r="D16" s="13" t="s">
        <v>7</v>
      </c>
      <c r="E16" s="14" t="s">
        <v>39</v>
      </c>
      <c r="F16" s="14"/>
      <c r="G16" s="23"/>
      <c r="H16" s="24"/>
    </row>
    <row r="17" spans="1:9" x14ac:dyDescent="0.25">
      <c r="A17" s="7">
        <v>43242</v>
      </c>
      <c r="B17" s="19">
        <f t="shared" ref="B17" si="15">WEEKNUM(A17)</f>
        <v>21</v>
      </c>
      <c r="C17" s="12">
        <v>1.5</v>
      </c>
      <c r="D17" s="13" t="s">
        <v>7</v>
      </c>
      <c r="E17" s="14" t="s">
        <v>38</v>
      </c>
      <c r="F17" s="14"/>
      <c r="G17" s="23"/>
      <c r="H17" s="24"/>
    </row>
    <row r="18" spans="1:9" ht="75" x14ac:dyDescent="0.25">
      <c r="A18" s="7">
        <v>43242</v>
      </c>
      <c r="B18" s="19">
        <f t="shared" ref="B18" si="16">WEEKNUM(A18)</f>
        <v>21</v>
      </c>
      <c r="C18" s="12">
        <v>4</v>
      </c>
      <c r="D18" s="13" t="s">
        <v>7</v>
      </c>
      <c r="E18" s="14" t="s">
        <v>37</v>
      </c>
      <c r="F18" s="14"/>
      <c r="G18" s="23"/>
      <c r="H18" s="24"/>
    </row>
    <row r="19" spans="1:9" x14ac:dyDescent="0.25">
      <c r="A19" s="7">
        <v>43238</v>
      </c>
      <c r="B19" s="19">
        <f t="shared" ref="B19" si="17">WEEKNUM(A19)</f>
        <v>20</v>
      </c>
      <c r="C19" s="12">
        <v>1.5</v>
      </c>
      <c r="D19" s="13" t="s">
        <v>9</v>
      </c>
      <c r="E19" s="14" t="s">
        <v>36</v>
      </c>
      <c r="F19" s="14"/>
      <c r="G19" s="23"/>
      <c r="H19" s="24"/>
    </row>
    <row r="20" spans="1:9" ht="30" x14ac:dyDescent="0.25">
      <c r="A20" s="7">
        <v>43238</v>
      </c>
      <c r="B20" s="19">
        <f t="shared" ref="B20" si="18">WEEKNUM(A20)</f>
        <v>20</v>
      </c>
      <c r="C20" s="12">
        <v>3</v>
      </c>
      <c r="D20" s="13" t="s">
        <v>7</v>
      </c>
      <c r="E20" s="14" t="s">
        <v>35</v>
      </c>
      <c r="F20" s="14"/>
      <c r="G20" s="22"/>
    </row>
    <row r="21" spans="1:9" x14ac:dyDescent="0.25">
      <c r="A21" s="7">
        <v>43238</v>
      </c>
      <c r="B21" s="19">
        <f t="shared" ref="B21" si="19">WEEKNUM(A21)</f>
        <v>20</v>
      </c>
      <c r="C21" s="12">
        <v>0.75</v>
      </c>
      <c r="D21" s="13" t="s">
        <v>9</v>
      </c>
      <c r="E21" s="14" t="s">
        <v>32</v>
      </c>
      <c r="F21" s="14" t="s">
        <v>30</v>
      </c>
    </row>
    <row r="22" spans="1:9" ht="30" x14ac:dyDescent="0.25">
      <c r="A22" s="7">
        <v>43237</v>
      </c>
      <c r="B22" s="19">
        <f t="shared" ref="B22:B29" si="20">WEEKNUM(A22)</f>
        <v>20</v>
      </c>
      <c r="C22" s="12">
        <v>0.5</v>
      </c>
      <c r="D22" s="13" t="s">
        <v>9</v>
      </c>
      <c r="E22" s="14" t="s">
        <v>29</v>
      </c>
      <c r="F22" s="14"/>
      <c r="I22" s="15"/>
    </row>
    <row r="23" spans="1:9" ht="75" x14ac:dyDescent="0.25">
      <c r="A23" s="7">
        <v>43237</v>
      </c>
      <c r="B23" s="19">
        <f t="shared" si="20"/>
        <v>20</v>
      </c>
      <c r="C23" s="12">
        <v>4.75</v>
      </c>
      <c r="D23" s="13" t="s">
        <v>7</v>
      </c>
      <c r="E23" s="14" t="s">
        <v>28</v>
      </c>
      <c r="F23" s="14"/>
      <c r="I23" s="15"/>
    </row>
    <row r="24" spans="1:9" ht="45" x14ac:dyDescent="0.25">
      <c r="A24" s="7">
        <v>43237</v>
      </c>
      <c r="B24" s="19">
        <f t="shared" si="20"/>
        <v>20</v>
      </c>
      <c r="C24" s="12">
        <v>1.75</v>
      </c>
      <c r="D24" s="13" t="s">
        <v>7</v>
      </c>
      <c r="E24" s="14" t="s">
        <v>27</v>
      </c>
      <c r="F24" s="14"/>
      <c r="I24" s="15"/>
    </row>
    <row r="25" spans="1:9" ht="45" x14ac:dyDescent="0.25">
      <c r="A25" s="7">
        <v>43236</v>
      </c>
      <c r="B25" s="19">
        <f t="shared" si="20"/>
        <v>20</v>
      </c>
      <c r="C25" s="12">
        <v>0.75</v>
      </c>
      <c r="D25" s="13" t="s">
        <v>7</v>
      </c>
      <c r="E25" s="14" t="s">
        <v>26</v>
      </c>
      <c r="F25" s="14"/>
      <c r="I25" s="15"/>
    </row>
    <row r="26" spans="1:9" ht="45" x14ac:dyDescent="0.25">
      <c r="A26" s="7">
        <v>43236</v>
      </c>
      <c r="B26" s="19">
        <f t="shared" si="20"/>
        <v>20</v>
      </c>
      <c r="C26" s="12">
        <v>4</v>
      </c>
      <c r="D26" s="13" t="s">
        <v>7</v>
      </c>
      <c r="E26" s="14" t="s">
        <v>24</v>
      </c>
      <c r="F26" s="14" t="s">
        <v>25</v>
      </c>
      <c r="I26" s="15"/>
    </row>
    <row r="27" spans="1:9" ht="60" x14ac:dyDescent="0.25">
      <c r="A27" s="7">
        <v>43235</v>
      </c>
      <c r="B27" s="19">
        <f t="shared" si="20"/>
        <v>20</v>
      </c>
      <c r="C27" s="12">
        <v>3.75</v>
      </c>
      <c r="D27" s="13" t="s">
        <v>7</v>
      </c>
      <c r="E27" s="14" t="s">
        <v>23</v>
      </c>
      <c r="F27" s="14"/>
      <c r="I27" s="15"/>
    </row>
    <row r="28" spans="1:9" x14ac:dyDescent="0.25">
      <c r="A28" s="7">
        <v>43235</v>
      </c>
      <c r="B28" s="19">
        <f t="shared" si="20"/>
        <v>20</v>
      </c>
      <c r="C28" s="16">
        <v>1.5</v>
      </c>
      <c r="D28" s="13" t="s">
        <v>6</v>
      </c>
      <c r="E28" s="14" t="s">
        <v>22</v>
      </c>
      <c r="F28" s="14"/>
      <c r="I28" s="15"/>
    </row>
    <row r="29" spans="1:9" x14ac:dyDescent="0.25">
      <c r="A29" s="7">
        <v>43234</v>
      </c>
      <c r="B29" s="19">
        <f t="shared" si="20"/>
        <v>20</v>
      </c>
      <c r="C29" s="12">
        <v>0.5</v>
      </c>
      <c r="D29" s="13" t="s">
        <v>6</v>
      </c>
      <c r="E29" s="14" t="s">
        <v>33</v>
      </c>
      <c r="F29" s="14" t="s">
        <v>34</v>
      </c>
      <c r="I29" s="15"/>
    </row>
    <row r="30" spans="1:9" ht="30" x14ac:dyDescent="0.25">
      <c r="A30" s="7">
        <v>43229</v>
      </c>
      <c r="B30" s="19">
        <f t="shared" ref="B30:B35" si="21">WEEKNUM(A30)</f>
        <v>19</v>
      </c>
      <c r="C30" s="12">
        <v>0.75</v>
      </c>
      <c r="D30" s="13" t="s">
        <v>9</v>
      </c>
      <c r="E30" s="14" t="s">
        <v>21</v>
      </c>
      <c r="F30" s="14"/>
      <c r="I30" s="15"/>
    </row>
    <row r="31" spans="1:9" ht="30" x14ac:dyDescent="0.25">
      <c r="A31" s="7">
        <v>43229</v>
      </c>
      <c r="B31" s="19">
        <f t="shared" si="21"/>
        <v>19</v>
      </c>
      <c r="C31" s="12">
        <v>4</v>
      </c>
      <c r="D31" s="13" t="s">
        <v>6</v>
      </c>
      <c r="E31" s="14" t="s">
        <v>31</v>
      </c>
      <c r="F31" s="14"/>
      <c r="I31" s="15"/>
    </row>
    <row r="32" spans="1:9" x14ac:dyDescent="0.25">
      <c r="A32" s="7">
        <v>43228</v>
      </c>
      <c r="B32" s="19">
        <f t="shared" si="21"/>
        <v>19</v>
      </c>
      <c r="C32" s="12">
        <v>3.75</v>
      </c>
      <c r="D32" s="13" t="s">
        <v>6</v>
      </c>
      <c r="E32" s="14" t="s">
        <v>19</v>
      </c>
      <c r="F32" s="14" t="s">
        <v>20</v>
      </c>
      <c r="I32" s="15"/>
    </row>
    <row r="33" spans="1:9" x14ac:dyDescent="0.25">
      <c r="A33" s="7">
        <v>43228</v>
      </c>
      <c r="B33" s="19">
        <f t="shared" si="21"/>
        <v>19</v>
      </c>
      <c r="C33" s="12">
        <v>2.5</v>
      </c>
      <c r="D33" s="13" t="s">
        <v>6</v>
      </c>
      <c r="E33" s="14" t="s">
        <v>16</v>
      </c>
      <c r="F33" s="14" t="s">
        <v>17</v>
      </c>
      <c r="I33" s="15"/>
    </row>
    <row r="34" spans="1:9" x14ac:dyDescent="0.25">
      <c r="A34" s="7">
        <v>43228</v>
      </c>
      <c r="B34" s="19">
        <f t="shared" si="21"/>
        <v>19</v>
      </c>
      <c r="C34" s="12">
        <v>1.5</v>
      </c>
      <c r="D34" s="13" t="s">
        <v>6</v>
      </c>
      <c r="E34" s="14" t="s">
        <v>15</v>
      </c>
      <c r="F34" s="14" t="s">
        <v>18</v>
      </c>
      <c r="I34" s="15"/>
    </row>
    <row r="35" spans="1:9" ht="45" x14ac:dyDescent="0.25">
      <c r="A35" s="7">
        <v>43228</v>
      </c>
      <c r="B35" s="19">
        <f t="shared" si="21"/>
        <v>19</v>
      </c>
      <c r="C35" s="12">
        <v>0.75</v>
      </c>
      <c r="D35" s="13" t="s">
        <v>6</v>
      </c>
      <c r="E35" s="14" t="s">
        <v>14</v>
      </c>
      <c r="F35" s="14" t="s">
        <v>52</v>
      </c>
      <c r="I35" s="15"/>
    </row>
    <row r="36" spans="1:9" x14ac:dyDescent="0.25">
      <c r="A36" s="21"/>
    </row>
  </sheetData>
  <sheetProtection selectLockedCells="1"/>
  <pageMargins left="0.7" right="0.7" top="0.75" bottom="0.75" header="0.3" footer="0.3"/>
  <pageSetup paperSize="1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D2:D35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6"/>
  <sheetViews>
    <sheetView tabSelected="1" workbookViewId="0">
      <selection activeCell="B12" sqref="B12"/>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12.5703125" bestFit="1"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A3" s="4" t="s">
        <v>13</v>
      </c>
    </row>
    <row r="4" spans="1:5" x14ac:dyDescent="0.25">
      <c r="B4" t="s">
        <v>9</v>
      </c>
      <c r="C4" t="s">
        <v>7</v>
      </c>
      <c r="D4" t="s">
        <v>6</v>
      </c>
      <c r="E4" t="s">
        <v>11</v>
      </c>
    </row>
    <row r="5" spans="1:5" x14ac:dyDescent="0.25">
      <c r="A5" s="5">
        <v>43238</v>
      </c>
      <c r="B5" s="3">
        <v>2.25</v>
      </c>
      <c r="C5" s="3">
        <v>3</v>
      </c>
      <c r="D5" s="3"/>
      <c r="E5" s="3">
        <v>5.25</v>
      </c>
    </row>
    <row r="6" spans="1:5" x14ac:dyDescent="0.25">
      <c r="A6" s="5">
        <v>43237</v>
      </c>
      <c r="B6" s="3">
        <v>0.5</v>
      </c>
      <c r="C6" s="3">
        <v>6.5</v>
      </c>
      <c r="D6" s="3"/>
      <c r="E6" s="3">
        <v>7</v>
      </c>
    </row>
    <row r="7" spans="1:5" x14ac:dyDescent="0.25">
      <c r="A7" s="5">
        <v>43236</v>
      </c>
      <c r="B7" s="3"/>
      <c r="C7" s="3">
        <v>4.75</v>
      </c>
      <c r="D7" s="3"/>
      <c r="E7" s="3">
        <v>4.75</v>
      </c>
    </row>
    <row r="8" spans="1:5" x14ac:dyDescent="0.25">
      <c r="A8" s="5">
        <v>43235</v>
      </c>
      <c r="B8" s="3"/>
      <c r="C8" s="3">
        <v>3.75</v>
      </c>
      <c r="D8" s="3">
        <v>1.5</v>
      </c>
      <c r="E8" s="3">
        <v>5.25</v>
      </c>
    </row>
    <row r="9" spans="1:5" x14ac:dyDescent="0.25">
      <c r="A9" s="5">
        <v>43229</v>
      </c>
      <c r="B9" s="3">
        <v>0.75</v>
      </c>
      <c r="C9" s="3"/>
      <c r="D9" s="3">
        <v>4</v>
      </c>
      <c r="E9" s="3">
        <v>4.75</v>
      </c>
    </row>
    <row r="10" spans="1:5" x14ac:dyDescent="0.25">
      <c r="A10" s="5">
        <v>43228</v>
      </c>
      <c r="B10" s="3"/>
      <c r="C10" s="3"/>
      <c r="D10" s="3">
        <v>8.5</v>
      </c>
      <c r="E10" s="3">
        <v>8.5</v>
      </c>
    </row>
    <row r="11" spans="1:5" x14ac:dyDescent="0.25">
      <c r="A11" s="5">
        <v>43234</v>
      </c>
      <c r="B11" s="3"/>
      <c r="C11" s="3"/>
      <c r="D11" s="3">
        <v>0.5</v>
      </c>
      <c r="E11" s="3">
        <v>0.5</v>
      </c>
    </row>
    <row r="12" spans="1:5" x14ac:dyDescent="0.25">
      <c r="A12" s="5">
        <v>43242</v>
      </c>
      <c r="B12" s="3"/>
      <c r="C12" s="3">
        <v>7</v>
      </c>
      <c r="D12" s="3"/>
      <c r="E12" s="3">
        <v>7</v>
      </c>
    </row>
    <row r="13" spans="1:5" x14ac:dyDescent="0.25">
      <c r="A13" s="5">
        <v>43243</v>
      </c>
      <c r="B13" s="3"/>
      <c r="C13" s="3">
        <v>3.41</v>
      </c>
      <c r="D13" s="3">
        <v>0.33</v>
      </c>
      <c r="E13" s="3">
        <v>3.74</v>
      </c>
    </row>
    <row r="14" spans="1:5" x14ac:dyDescent="0.25">
      <c r="A14" s="5">
        <v>43244</v>
      </c>
      <c r="B14" s="3">
        <v>1.5</v>
      </c>
      <c r="C14" s="3">
        <v>10.4</v>
      </c>
      <c r="D14" s="3"/>
      <c r="E14" s="3">
        <v>11.9</v>
      </c>
    </row>
    <row r="15" spans="1:5" x14ac:dyDescent="0.25">
      <c r="A15" s="5">
        <v>43249</v>
      </c>
      <c r="B15" s="3">
        <v>2.25</v>
      </c>
      <c r="C15" s="3">
        <v>7.5</v>
      </c>
      <c r="D15" s="3"/>
      <c r="E15" s="3">
        <v>9.75</v>
      </c>
    </row>
    <row r="16" spans="1:5" x14ac:dyDescent="0.25">
      <c r="A16" s="5" t="s">
        <v>11</v>
      </c>
      <c r="B16" s="3">
        <v>7.25</v>
      </c>
      <c r="C16" s="3">
        <v>46.31</v>
      </c>
      <c r="D16" s="3">
        <v>14.83</v>
      </c>
      <c r="E16" s="3">
        <v>68.39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2018-05-30T09:12:42Z</dcterms:modified>
</cp:coreProperties>
</file>